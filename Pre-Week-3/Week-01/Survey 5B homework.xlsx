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13_ncr:1_{00B5B5CE-9AB2-463E-B278-350DE3E1098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3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9" i="1" s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<sst xmlns="http://schemas.openxmlformats.org/spreadsheetml/2006/main" count="108" uniqueCount="52">
  <si>
    <t>ID</t>
  </si>
  <si>
    <t>Start time</t>
  </si>
  <si>
    <t>Completion time</t>
  </si>
  <si>
    <t>Email</t>
  </si>
  <si>
    <t>Name</t>
  </si>
  <si>
    <t>Last modified time</t>
  </si>
  <si>
    <t>Does the staff show professionalism in their service?</t>
  </si>
  <si>
    <t>Rate the level of hospitality and friendliness.</t>
  </si>
  <si>
    <t>Please indicate your overall satisfaction with Rest&amp;Eat ?</t>
  </si>
  <si>
    <t>How does Rest&amp;Eat compare with your expectations overall?</t>
  </si>
  <si>
    <t>What do you like best about Rest&amp;Eat?</t>
  </si>
  <si>
    <t>What would you change about Rest&amp;Eat?</t>
  </si>
  <si>
    <t>How likely are you to recommend Rest&amp;Eat to a friend or colleague?</t>
  </si>
  <si>
    <t>Easy to use</t>
  </si>
  <si>
    <t>Well-made of quality materials</t>
  </si>
  <si>
    <t>Comes with clear instructions</t>
  </si>
  <si>
    <t>Works well</t>
  </si>
  <si>
    <t>pgreen-holloway@my.yearupunited.org</t>
  </si>
  <si>
    <t>patrick green-holloway</t>
  </si>
  <si>
    <t>Yes</t>
  </si>
  <si>
    <t>Excellent</t>
  </si>
  <si>
    <t>Better than expected</t>
  </si>
  <si>
    <t>The accomodations</t>
  </si>
  <si>
    <t>Nothing</t>
  </si>
  <si>
    <t>Definitely will recommend</t>
  </si>
  <si>
    <t>dkabakibi@my.yearupunited.org</t>
  </si>
  <si>
    <t>dania kabakibi</t>
  </si>
  <si>
    <t>As expected</t>
  </si>
  <si>
    <t>The comfortable and clean place</t>
  </si>
  <si>
    <t>Add new meals to the menu</t>
  </si>
  <si>
    <t>mblack@my.yearupunited.org</t>
  </si>
  <si>
    <t>maia black</t>
  </si>
  <si>
    <t>The service</t>
  </si>
  <si>
    <t xml:space="preserve">I wouldn't change anything at the moment. </t>
  </si>
  <si>
    <t>ktyler@my.yearupunited.org</t>
  </si>
  <si>
    <t>kendra tyler</t>
  </si>
  <si>
    <t xml:space="preserve">The Food </t>
  </si>
  <si>
    <t>N/A</t>
  </si>
  <si>
    <t>mtariq@my.yearupunited.org</t>
  </si>
  <si>
    <t>malaika tariq</t>
  </si>
  <si>
    <t>dnji@my.yearupunited.org</t>
  </si>
  <si>
    <t>Good</t>
  </si>
  <si>
    <t xml:space="preserve">the ambient </t>
  </si>
  <si>
    <t>the food menu</t>
  </si>
  <si>
    <t>Probably will recommend</t>
  </si>
  <si>
    <t>Worse than expected</t>
  </si>
  <si>
    <t>sweaver@my.yearupunited.org</t>
  </si>
  <si>
    <t>sharya weaver</t>
  </si>
  <si>
    <t>Time to complete</t>
  </si>
  <si>
    <t>Row Labels</t>
  </si>
  <si>
    <t>Grand Total</t>
  </si>
  <si>
    <t>Sum of Please indicate your overall satisfaction with Rest&amp;Eat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</si>
</sst>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5B homework.xlsx]Sheet3!PivotTable2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Sheet3!$A$4:$A$11</c:f>
              <c:strCache>
                <c:ptCount val="7"/>
                <c:pt idx="0">
                  <c:v>dania kabakibi</c:v>
                </c:pt>
                <c:pt idx="1">
                  <c:v>dnji@my.yearupunited.org</c:v>
                </c:pt>
                <c:pt idx="2">
                  <c:v>kendra tyler</c:v>
                </c:pt>
                <c:pt idx="3">
                  <c:v>maia black</c:v>
                </c:pt>
                <c:pt idx="4">
                  <c:v>malaika tariq</c:v>
                </c:pt>
                <c:pt idx="5">
                  <c:v>patrick green-holloway</c:v>
                </c:pt>
                <c:pt idx="6">
                  <c:v>sharya weaver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E-47DC-9B68-9E5DB9E2F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11</xdr:row>
      <xdr:rowOff>80010</xdr:rowOff>
    </xdr:from>
    <xdr:to>
      <xdr:col>1</xdr:col>
      <xdr:colOff>3520440</xdr:colOff>
      <xdr:row>26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8D6C9-C175-0BB0-96B5-326EB8BA2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406" refreshedDate="46123.855613078704" createdVersion="8" refreshedVersion="8" minRefreshableVersion="3" recordCount="7" xr:uid="{568BB809-7DF9-44E8-8CC1-CE58A2FCF214}">
  <cacheSource type="worksheet">
    <worksheetSource name="Table1"/>
  </cacheSource>
  <cacheFields count="18">
    <cacheField name="ID" numFmtId="0">
      <sharedItems containsSemiMixedTypes="0" containsString="0" containsNumber="1" containsInteger="1" minValue="1" maxValue="7"/>
    </cacheField>
    <cacheField name="Start time" numFmtId="166">
      <sharedItems containsSemiMixedTypes="0" containsNonDate="0" containsDate="1" containsString="0" minDate="2026-04-09T11:42:19" maxDate="2026-04-10T20:53:06"/>
    </cacheField>
    <cacheField name="Completion time" numFmtId="166">
      <sharedItems containsSemiMixedTypes="0" containsNonDate="0" containsDate="1" containsString="0" minDate="2026-04-09T11:42:28" maxDate="2026-04-10T20:54:56"/>
    </cacheField>
    <cacheField name="Time to complete" numFmtId="166">
      <sharedItems containsSemiMixedTypes="0" containsNonDate="0" containsDate="1" containsString="0" minDate="1899-12-30T00:00:09" maxDate="1899-12-30T00:03:02"/>
    </cacheField>
    <cacheField name="Email" numFmtId="0">
      <sharedItems/>
    </cacheField>
    <cacheField name="Name" numFmtId="0">
      <sharedItems count="7">
        <s v="patrick green-holloway"/>
        <s v="dania kabakibi"/>
        <s v="maia black"/>
        <s v="kendra tyler"/>
        <s v="malaika tariq"/>
        <s v="dnji@my.yearupunited.org"/>
        <s v="sharya weaver"/>
      </sharedItems>
    </cacheField>
    <cacheField name="Last modified time" numFmtId="164">
      <sharedItems containsNonDate="0" containsString="0" containsBlank="1"/>
    </cacheField>
    <cacheField name="Does the staff show professionalism in their service?" numFmtId="0">
      <sharedItems/>
    </cacheField>
    <cacheField name="Rate the level of hospitality and friendliness." numFmtId="0">
      <sharedItems/>
    </cacheField>
    <cacheField name="Please indicate your overall satisfaction with Rest&amp;Eat ?" numFmtId="0">
      <sharedItems containsSemiMixedTypes="0" containsString="0" containsNumber="1" containsInteger="1" minValue="7" maxValue="10"/>
    </cacheField>
    <cacheField name="How does Rest&amp;Eat compare with your expectations overall?" numFmtId="0">
      <sharedItems count="2">
        <s v="Better than expected"/>
        <s v="As expected"/>
      </sharedItems>
    </cacheField>
    <cacheField name="What do you like best about Rest&amp;Eat?" numFmtId="0">
      <sharedItems containsBlank="1"/>
    </cacheField>
    <cacheField name="What would you change about Rest&amp;Eat?" numFmtId="0">
      <sharedItems containsBlank="1"/>
    </cacheField>
    <cacheField name="How likely are you to recommend Rest&amp;Eat to a friend or colleague?" numFmtId="0">
      <sharedItems/>
    </cacheField>
    <cacheField name="Easy to use" numFmtId="0">
      <sharedItems/>
    </cacheField>
    <cacheField name="Well-made of quality materials" numFmtId="0">
      <sharedItems/>
    </cacheField>
    <cacheField name="Comes with clear instructions" numFmtId="0">
      <sharedItems/>
    </cacheField>
    <cacheField name="Works wel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04-09T11:42:19"/>
    <d v="2026-04-09T11:42:28"/>
    <d v="1899-12-30T00:00:09"/>
    <s v="pgreen-holloway@my.yearupunited.org"/>
    <x v="0"/>
    <m/>
    <s v="Yes"/>
    <s v="Excellent"/>
    <n v="10"/>
    <x v="0"/>
    <s v="The accomodations"/>
    <s v="Nothing"/>
    <s v="Definitely will recommend"/>
    <s v="Better than expected"/>
    <s v="Better than expected"/>
    <s v="Better than expected"/>
    <s v="Better than expected"/>
  </r>
  <r>
    <n v="2"/>
    <d v="2026-04-09T11:43:27"/>
    <d v="2026-04-09T11:46:29"/>
    <d v="1899-12-30T00:03:02"/>
    <s v="dkabakibi@my.yearupunited.org"/>
    <x v="1"/>
    <m/>
    <s v="Yes"/>
    <s v="Excellent"/>
    <n v="9"/>
    <x v="1"/>
    <s v="The comfortable and clean place"/>
    <s v="Add new meals to the menu"/>
    <s v="Definitely will recommend"/>
    <s v="Better than expected"/>
    <s v="As expected"/>
    <s v="As expected"/>
    <s v="Better than expected"/>
  </r>
  <r>
    <n v="3"/>
    <d v="2026-04-09T11:56:59"/>
    <d v="2026-04-09T11:57:55"/>
    <d v="1899-12-30T00:00:56"/>
    <s v="mblack@my.yearupunited.org"/>
    <x v="2"/>
    <m/>
    <s v="Yes"/>
    <s v="Excellent"/>
    <n v="9"/>
    <x v="0"/>
    <s v="The service"/>
    <s v="I wouldn't change anything at the moment. "/>
    <s v="Definitely will recommend"/>
    <s v="Better than expected"/>
    <s v="Better than expected"/>
    <s v="Better than expected"/>
    <s v="Better than expected"/>
  </r>
  <r>
    <n v="4"/>
    <d v="2026-04-10T00:47:02"/>
    <d v="2026-04-10T00:48:31"/>
    <d v="1899-12-30T00:01:29"/>
    <s v="ktyler@my.yearupunited.org"/>
    <x v="3"/>
    <m/>
    <s v="Yes"/>
    <s v="Excellent"/>
    <n v="8"/>
    <x v="0"/>
    <s v="The Food "/>
    <s v="N/A"/>
    <s v="Definitely will recommend"/>
    <s v="Better than expected"/>
    <s v="As expected"/>
    <s v="Better than expected"/>
    <s v="Better than expected"/>
  </r>
  <r>
    <n v="5"/>
    <d v="2026-04-10T02:49:35"/>
    <d v="2026-04-10T02:50:33"/>
    <d v="1899-12-30T00:00:58"/>
    <s v="mtariq@my.yearupunited.org"/>
    <x v="4"/>
    <m/>
    <s v="Yes"/>
    <s v="Excellent"/>
    <n v="10"/>
    <x v="0"/>
    <m/>
    <m/>
    <s v="Definitely will recommend"/>
    <s v="Better than expected"/>
    <s v="Better than expected"/>
    <s v="Better than expected"/>
    <s v="Better than expected"/>
  </r>
  <r>
    <n v="6"/>
    <d v="2026-04-10T11:24:30"/>
    <d v="2026-04-10T11:25:58"/>
    <d v="1899-12-30T00:01:28"/>
    <s v="dnji@my.yearupunited.org"/>
    <x v="5"/>
    <m/>
    <s v="Yes"/>
    <s v="Good"/>
    <n v="7"/>
    <x v="1"/>
    <s v="the ambient "/>
    <s v="the food menu"/>
    <s v="Probably will recommend"/>
    <s v="Worse than expected"/>
    <s v="As expected"/>
    <s v="As expected"/>
    <s v="As expected"/>
  </r>
  <r>
    <n v="7"/>
    <d v="2026-04-10T20:53:06"/>
    <d v="2026-04-10T20:54:56"/>
    <d v="1899-12-30T00:01:50"/>
    <s v="sweaver@my.yearupunited.org"/>
    <x v="6"/>
    <m/>
    <s v="Yes"/>
    <s v="Good"/>
    <n v="9"/>
    <x v="1"/>
    <m/>
    <m/>
    <s v="Probably will recommend"/>
    <s v="As expected"/>
    <s v="Better than expected"/>
    <s v="As expected"/>
    <s v="Better than expec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9A985-EEBA-404B-B381-BA1522F05C7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8">
    <pivotField showAll="0"/>
    <pivotField numFmtId="166" showAll="0"/>
    <pivotField numFmtId="166" showAll="0"/>
    <pivotField numFmtId="166" showAll="0"/>
    <pivotField showAll="0"/>
    <pivotField axis="axisRow" showAll="0">
      <items count="8">
        <item x="1"/>
        <item x="5"/>
        <item x="3"/>
        <item x="2"/>
        <item x="4"/>
        <item x="0"/>
        <item x="6"/>
        <item t="default"/>
      </items>
    </pivotField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lease indicate your overall satisfaction with Rest&amp;Eat ?" fld="9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9" totalsRowCount="1">
  <autoFilter ref="A1:R8" xr:uid="{00000000-0009-0000-0100-000001000000}"/>
  <tableColumns count="18">
    <tableColumn id="1" xr3:uid="{00000000-0010-0000-0000-000001000000}" name="ID" dataDxfId="21" totalsRowDxfId="17"/>
    <tableColumn id="2" xr3:uid="{00000000-0010-0000-0000-000002000000}" name="Start time" dataDxfId="20" totalsRowDxfId="16"/>
    <tableColumn id="3" xr3:uid="{00000000-0010-0000-0000-000003000000}" name="Completion time" dataDxfId="19" totalsRowDxfId="15"/>
    <tableColumn id="18" xr3:uid="{EFCEF983-D704-427C-B6B5-84493B5F1323}" name="Time to complete" totalsRowFunction="custom" dataDxfId="18" totalsRowDxfId="14">
      <calculatedColumnFormula>C2-B2</calculatedColumnFormula>
      <totalsRowFormula>AVERAGEA(D2,D3,D4)</totalsRowFormula>
    </tableColumn>
    <tableColumn id="4" xr3:uid="{00000000-0010-0000-0000-000004000000}" name="Email" dataDxfId="35" totalsRowDxfId="13"/>
    <tableColumn id="5" xr3:uid="{00000000-0010-0000-0000-000005000000}" name="Name" dataDxfId="34" totalsRowDxfId="12"/>
    <tableColumn id="6" xr3:uid="{00000000-0010-0000-0000-000006000000}" name="Last modified time" dataDxfId="33" totalsRowDxfId="11"/>
    <tableColumn id="7" xr3:uid="{00000000-0010-0000-0000-000007000000}" name="Does the staff show professionalism in their service?" dataDxfId="32" totalsRowDxfId="10"/>
    <tableColumn id="8" xr3:uid="{00000000-0010-0000-0000-000008000000}" name="Rate the level of hospitality and friendliness." dataDxfId="31" totalsRowDxfId="9"/>
    <tableColumn id="9" xr3:uid="{00000000-0010-0000-0000-000009000000}" name="Please indicate your overall satisfaction with Rest&amp;Eat ?" dataDxfId="30" totalsRowDxfId="8"/>
    <tableColumn id="10" xr3:uid="{00000000-0010-0000-0000-00000A000000}" name="How does Rest&amp;Eat compare with your expectations overall?" dataDxfId="29" totalsRowDxfId="7"/>
    <tableColumn id="11" xr3:uid="{00000000-0010-0000-0000-00000B000000}" name="What do you like best about Rest&amp;Eat?" dataDxfId="28" totalsRowDxfId="6"/>
    <tableColumn id="12" xr3:uid="{00000000-0010-0000-0000-00000C000000}" name="What would you change about Rest&amp;Eat?" dataDxfId="27" totalsRowDxfId="5"/>
    <tableColumn id="13" xr3:uid="{00000000-0010-0000-0000-00000D000000}" name="How likely are you to recommend Rest&amp;Eat to a friend or colleague?" dataDxfId="26" totalsRowDxfId="4"/>
    <tableColumn id="14" xr3:uid="{00000000-0010-0000-0000-00000E000000}" name="Easy to use" dataDxfId="25" totalsRowDxfId="3"/>
    <tableColumn id="15" xr3:uid="{00000000-0010-0000-0000-00000F000000}" name="Well-made of quality materials" dataDxfId="24" totalsRowDxfId="2"/>
    <tableColumn id="16" xr3:uid="{00000000-0010-0000-0000-000010000000}" name="Comes with clear instructions" dataDxfId="23" totalsRowDxfId="1"/>
    <tableColumn id="17" xr3:uid="{00000000-0010-0000-0000-000011000000}" name="Works well" dataDxfId="2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4A52-60EA-4B07-8D18-5994E978EC17}">
  <dimension ref="A3:B11"/>
  <sheetViews>
    <sheetView workbookViewId="0">
      <selection activeCell="B16" sqref="B16"/>
    </sheetView>
  </sheetViews>
  <sheetFormatPr defaultRowHeight="14.4" x14ac:dyDescent="0.3"/>
  <cols>
    <col min="1" max="1" width="22.88671875" bestFit="1" customWidth="1"/>
    <col min="2" max="2" width="55.109375" bestFit="1" customWidth="1"/>
  </cols>
  <sheetData>
    <row r="3" spans="1:2" x14ac:dyDescent="0.3">
      <c r="A3" s="4" t="s">
        <v>49</v>
      </c>
      <c r="B3" t="s">
        <v>51</v>
      </c>
    </row>
    <row r="4" spans="1:2" x14ac:dyDescent="0.3">
      <c r="A4" s="5" t="s">
        <v>26</v>
      </c>
      <c r="B4" s="2">
        <v>9</v>
      </c>
    </row>
    <row r="5" spans="1:2" x14ac:dyDescent="0.3">
      <c r="A5" s="5" t="s">
        <v>40</v>
      </c>
      <c r="B5" s="2">
        <v>7</v>
      </c>
    </row>
    <row r="6" spans="1:2" x14ac:dyDescent="0.3">
      <c r="A6" s="5" t="s">
        <v>35</v>
      </c>
      <c r="B6" s="2">
        <v>8</v>
      </c>
    </row>
    <row r="7" spans="1:2" x14ac:dyDescent="0.3">
      <c r="A7" s="5" t="s">
        <v>31</v>
      </c>
      <c r="B7" s="2">
        <v>9</v>
      </c>
    </row>
    <row r="8" spans="1:2" x14ac:dyDescent="0.3">
      <c r="A8" s="5" t="s">
        <v>39</v>
      </c>
      <c r="B8" s="2">
        <v>10</v>
      </c>
    </row>
    <row r="9" spans="1:2" x14ac:dyDescent="0.3">
      <c r="A9" s="5" t="s">
        <v>18</v>
      </c>
      <c r="B9" s="2">
        <v>10</v>
      </c>
    </row>
    <row r="10" spans="1:2" x14ac:dyDescent="0.3">
      <c r="A10" s="5" t="s">
        <v>47</v>
      </c>
      <c r="B10" s="2">
        <v>9</v>
      </c>
    </row>
    <row r="11" spans="1:2" x14ac:dyDescent="0.3">
      <c r="A11" s="5" t="s">
        <v>50</v>
      </c>
      <c r="B11" s="2">
        <v>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I1" workbookViewId="0">
      <selection activeCell="S1" sqref="S1:S1048576"/>
    </sheetView>
  </sheetViews>
  <sheetFormatPr defaultRowHeight="14.4" x14ac:dyDescent="0.3"/>
  <cols>
    <col min="1" max="1" width="20" bestFit="1" customWidth="1"/>
    <col min="2" max="3" width="20" style="3" bestFit="1" customWidth="1"/>
    <col min="4" max="4" width="20" style="3" customWidth="1"/>
    <col min="5" max="18" width="20" bestFit="1" customWidth="1"/>
  </cols>
  <sheetData>
    <row r="1" spans="1:18" x14ac:dyDescent="0.3">
      <c r="A1" t="s">
        <v>0</v>
      </c>
      <c r="B1" s="3" t="s">
        <v>1</v>
      </c>
      <c r="C1" s="3" t="s">
        <v>2</v>
      </c>
      <c r="D1" s="3" t="s">
        <v>48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 s="3">
        <v>46121.487719907404</v>
      </c>
      <c r="C2" s="3">
        <v>46121.487824074102</v>
      </c>
      <c r="D2" s="3">
        <f t="shared" ref="D2:D8" si="0">C2-B2</f>
        <v>1.041666982928291E-4</v>
      </c>
      <c r="E2" t="s">
        <v>17</v>
      </c>
      <c r="F2" t="s">
        <v>18</v>
      </c>
      <c r="G2" s="1"/>
      <c r="H2" t="s">
        <v>19</v>
      </c>
      <c r="I2" t="s">
        <v>20</v>
      </c>
      <c r="J2">
        <v>10</v>
      </c>
      <c r="K2" t="s">
        <v>21</v>
      </c>
      <c r="L2" t="s">
        <v>22</v>
      </c>
      <c r="M2" t="s">
        <v>23</v>
      </c>
      <c r="N2" t="s">
        <v>24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3">
      <c r="A3">
        <v>2</v>
      </c>
      <c r="B3" s="3">
        <v>46121.488506944399</v>
      </c>
      <c r="C3" s="3">
        <v>46121.4906134259</v>
      </c>
      <c r="D3" s="3">
        <f t="shared" si="0"/>
        <v>2.1064815009594895E-3</v>
      </c>
      <c r="E3" t="s">
        <v>25</v>
      </c>
      <c r="F3" t="s">
        <v>26</v>
      </c>
      <c r="G3" s="1"/>
      <c r="H3" t="s">
        <v>19</v>
      </c>
      <c r="I3" t="s">
        <v>20</v>
      </c>
      <c r="J3">
        <v>9</v>
      </c>
      <c r="K3" t="s">
        <v>27</v>
      </c>
      <c r="L3" t="s">
        <v>28</v>
      </c>
      <c r="M3" t="s">
        <v>29</v>
      </c>
      <c r="N3" t="s">
        <v>24</v>
      </c>
      <c r="O3" t="s">
        <v>21</v>
      </c>
      <c r="P3" t="s">
        <v>27</v>
      </c>
      <c r="Q3" t="s">
        <v>27</v>
      </c>
      <c r="R3" t="s">
        <v>21</v>
      </c>
    </row>
    <row r="4" spans="1:18" x14ac:dyDescent="0.3">
      <c r="A4">
        <v>3</v>
      </c>
      <c r="B4" s="3">
        <v>46121.497905092598</v>
      </c>
      <c r="C4" s="3">
        <v>46121.498553240701</v>
      </c>
      <c r="D4" s="3">
        <f t="shared" si="0"/>
        <v>6.4814810320967808E-4</v>
      </c>
      <c r="E4" t="s">
        <v>30</v>
      </c>
      <c r="F4" t="s">
        <v>31</v>
      </c>
      <c r="G4" s="1"/>
      <c r="H4" t="s">
        <v>19</v>
      </c>
      <c r="I4" t="s">
        <v>20</v>
      </c>
      <c r="J4">
        <v>9</v>
      </c>
      <c r="K4" t="s">
        <v>21</v>
      </c>
      <c r="L4" t="s">
        <v>32</v>
      </c>
      <c r="M4" t="s">
        <v>33</v>
      </c>
      <c r="N4" t="s">
        <v>24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3">
      <c r="A5">
        <v>4</v>
      </c>
      <c r="B5" s="3">
        <v>46122.032662037003</v>
      </c>
      <c r="C5" s="3">
        <v>46122.033692129597</v>
      </c>
      <c r="D5" s="3">
        <f t="shared" si="0"/>
        <v>1.0300925932824612E-3</v>
      </c>
      <c r="E5" t="s">
        <v>34</v>
      </c>
      <c r="F5" t="s">
        <v>35</v>
      </c>
      <c r="G5" s="1"/>
      <c r="H5" t="s">
        <v>19</v>
      </c>
      <c r="I5" t="s">
        <v>20</v>
      </c>
      <c r="J5">
        <v>8</v>
      </c>
      <c r="K5" t="s">
        <v>21</v>
      </c>
      <c r="L5" t="s">
        <v>36</v>
      </c>
      <c r="M5" t="s">
        <v>37</v>
      </c>
      <c r="N5" t="s">
        <v>24</v>
      </c>
      <c r="O5" t="s">
        <v>21</v>
      </c>
      <c r="P5" t="s">
        <v>27</v>
      </c>
      <c r="Q5" t="s">
        <v>21</v>
      </c>
      <c r="R5" t="s">
        <v>21</v>
      </c>
    </row>
    <row r="6" spans="1:18" x14ac:dyDescent="0.3">
      <c r="A6">
        <v>5</v>
      </c>
      <c r="B6" s="3">
        <v>46122.117766203701</v>
      </c>
      <c r="C6" s="3">
        <v>46122.118437500001</v>
      </c>
      <c r="D6" s="3">
        <f t="shared" si="0"/>
        <v>6.7129630042472854E-4</v>
      </c>
      <c r="E6" t="s">
        <v>38</v>
      </c>
      <c r="F6" t="s">
        <v>39</v>
      </c>
      <c r="G6" s="1"/>
      <c r="H6" t="s">
        <v>19</v>
      </c>
      <c r="I6" t="s">
        <v>20</v>
      </c>
      <c r="J6">
        <v>10</v>
      </c>
      <c r="K6" t="s">
        <v>21</v>
      </c>
      <c r="N6" t="s">
        <v>24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3">
      <c r="A7">
        <v>6</v>
      </c>
      <c r="B7" s="3">
        <v>46122.4753472222</v>
      </c>
      <c r="C7" s="3">
        <v>46122.476365740702</v>
      </c>
      <c r="D7" s="3">
        <f t="shared" si="0"/>
        <v>1.0185185019508936E-3</v>
      </c>
      <c r="E7" t="s">
        <v>40</v>
      </c>
      <c r="F7" t="s">
        <v>40</v>
      </c>
      <c r="G7" s="1"/>
      <c r="H7" t="s">
        <v>19</v>
      </c>
      <c r="I7" t="s">
        <v>41</v>
      </c>
      <c r="J7">
        <v>7</v>
      </c>
      <c r="K7" t="s">
        <v>27</v>
      </c>
      <c r="L7" t="s">
        <v>42</v>
      </c>
      <c r="M7" t="s">
        <v>43</v>
      </c>
      <c r="N7" t="s">
        <v>44</v>
      </c>
      <c r="O7" t="s">
        <v>45</v>
      </c>
      <c r="P7" t="s">
        <v>27</v>
      </c>
      <c r="Q7" t="s">
        <v>27</v>
      </c>
      <c r="R7" t="s">
        <v>27</v>
      </c>
    </row>
    <row r="8" spans="1:18" x14ac:dyDescent="0.3">
      <c r="A8">
        <v>7</v>
      </c>
      <c r="B8" s="3">
        <v>46122.870208333297</v>
      </c>
      <c r="C8" s="3">
        <v>46122.871481481503</v>
      </c>
      <c r="D8" s="3">
        <f t="shared" si="0"/>
        <v>1.2731482056551613E-3</v>
      </c>
      <c r="E8" t="s">
        <v>46</v>
      </c>
      <c r="F8" t="s">
        <v>47</v>
      </c>
      <c r="G8" s="1"/>
      <c r="H8" t="s">
        <v>19</v>
      </c>
      <c r="I8" t="s">
        <v>41</v>
      </c>
      <c r="J8">
        <v>9</v>
      </c>
      <c r="K8" t="s">
        <v>27</v>
      </c>
      <c r="N8" t="s">
        <v>44</v>
      </c>
      <c r="O8" t="s">
        <v>27</v>
      </c>
      <c r="P8" t="s">
        <v>21</v>
      </c>
      <c r="Q8" t="s">
        <v>27</v>
      </c>
      <c r="R8" t="s">
        <v>21</v>
      </c>
    </row>
    <row r="9" spans="1:18" x14ac:dyDescent="0.3">
      <c r="A9" s="2"/>
      <c r="D9" s="3">
        <f>AVERAGEA(D2,D3,D4)</f>
        <v>9.5293210082066559E-4</v>
      </c>
      <c r="E9" s="2"/>
      <c r="F9" s="2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oluwafemi farinloye</cp:lastModifiedBy>
  <dcterms:created xsi:type="dcterms:W3CDTF">2026-04-11T16:34:50Z</dcterms:created>
  <dcterms:modified xsi:type="dcterms:W3CDTF">2026-04-12T00:39:05Z</dcterms:modified>
</cp:coreProperties>
</file>